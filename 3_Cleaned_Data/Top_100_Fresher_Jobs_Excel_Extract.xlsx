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OneDrive\Desktop\Analyst_Job_Market_Project_2026\3_Cleaned_Data\"/>
    </mc:Choice>
  </mc:AlternateContent>
  <xr:revisionPtr revIDLastSave="0" documentId="13_ncr:9_{5535DDE5-5C95-4C2C-9D6C-B21AEC803E55}" xr6:coauthVersionLast="47" xr6:coauthVersionMax="47" xr10:uidLastSave="{00000000-0000-0000-0000-000000000000}"/>
  <bookViews>
    <workbookView xWindow="-120" yWindow="-120" windowWidth="29040" windowHeight="15720" activeTab="1" xr2:uid="{140885D9-9ABC-448F-8C68-BA5E5058B3B3}"/>
  </bookViews>
  <sheets>
    <sheet name="Master_Data" sheetId="1" r:id="rId1"/>
    <sheet name="Interactive_Lookup" sheetId="2" r:id="rId2"/>
  </sheets>
  <calcPr calcId="0"/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<sst xmlns="http://schemas.openxmlformats.org/spreadsheetml/2006/main" count="413" uniqueCount="216">
  <si>
    <t>jobId</t>
  </si>
  <si>
    <t>title</t>
  </si>
  <si>
    <t>companyName</t>
  </si>
  <si>
    <t>Industry</t>
  </si>
  <si>
    <t>Clean_City</t>
  </si>
  <si>
    <t>Min_Salary</t>
  </si>
  <si>
    <t>Max_Salary</t>
  </si>
  <si>
    <t>Mid_Salary</t>
  </si>
  <si>
    <t>Business Analyst/ Collection Analyst</t>
  </si>
  <si>
    <t>Whizdm Innovations</t>
  </si>
  <si>
    <t>Other</t>
  </si>
  <si>
    <t>Hybrid - Bengaluru</t>
  </si>
  <si>
    <t>Senior Business Analyst at An E-commerce Unicorn</t>
  </si>
  <si>
    <t>Recruito</t>
  </si>
  <si>
    <t>Remote</t>
  </si>
  <si>
    <t>Analyst - Market Risk</t>
  </si>
  <si>
    <t>Indusind Bank</t>
  </si>
  <si>
    <t>BFSI</t>
  </si>
  <si>
    <t>Mumbai Suburban</t>
  </si>
  <si>
    <t>Analyst - Fund Accounting</t>
  </si>
  <si>
    <t>GIG Consultants</t>
  </si>
  <si>
    <t>Consulting</t>
  </si>
  <si>
    <t>Bangalore</t>
  </si>
  <si>
    <t>Analyst/Asspcociate/AVP</t>
  </si>
  <si>
    <t>Intellectual Capital Hr Consulting</t>
  </si>
  <si>
    <t>Ahmedabad</t>
  </si>
  <si>
    <t>Investment Banking Analyst</t>
  </si>
  <si>
    <t>Financial Analyst</t>
  </si>
  <si>
    <t>IntouchCX</t>
  </si>
  <si>
    <t>Hyderabad</t>
  </si>
  <si>
    <t>Credit Analyst(Commercial banking Group)Immediate Joiner &amp; Female only</t>
  </si>
  <si>
    <t>Axis Bank</t>
  </si>
  <si>
    <t>International BPO-WFM/Resource Planner/RTA Analyst @A'bad, Gandhinagar</t>
  </si>
  <si>
    <t>Arise Solutions</t>
  </si>
  <si>
    <t>IT/Tech</t>
  </si>
  <si>
    <t>Kolkata</t>
  </si>
  <si>
    <t>Capital Market Operations analyst</t>
  </si>
  <si>
    <t>Kashcloud Kpo Services</t>
  </si>
  <si>
    <t>Mathura</t>
  </si>
  <si>
    <t>MNC hiring For  French Quality Analyst- Voice """"</t>
  </si>
  <si>
    <t>ESS Cee Hr Solutions</t>
  </si>
  <si>
    <t>Data Analyst</t>
  </si>
  <si>
    <t>SG Analytics</t>
  </si>
  <si>
    <t>Hybrid - Pune</t>
  </si>
  <si>
    <t>Analyst- Research (Analytics &amp; Consulting)</t>
  </si>
  <si>
    <t>Argus India Price Reporting Services</t>
  </si>
  <si>
    <t>Staffing/HR Services</t>
  </si>
  <si>
    <t>Hybrid - Mumbai Suburban</t>
  </si>
  <si>
    <t>SOC Analyst L1</t>
  </si>
  <si>
    <t>Kryptos Technologies</t>
  </si>
  <si>
    <t>Chennai</t>
  </si>
  <si>
    <t>Analyst - Management Consulting</t>
  </si>
  <si>
    <t>Mercados Energy Markets</t>
  </si>
  <si>
    <t>Manufacturing/Core</t>
  </si>
  <si>
    <t>Gurugram</t>
  </si>
  <si>
    <t>Analyst / Executive</t>
  </si>
  <si>
    <t>Innovative</t>
  </si>
  <si>
    <t>Pune</t>
  </si>
  <si>
    <t>Analyst</t>
  </si>
  <si>
    <t>Vehere Technologies</t>
  </si>
  <si>
    <t>Hiring For a Trainer / Quality Analyst - BPO - Salary Upto 6.5lpa</t>
  </si>
  <si>
    <t>Titanium Consulting Mumbai</t>
  </si>
  <si>
    <t>Kochi</t>
  </si>
  <si>
    <t>Credit Analyst-working capital-Female-Deputy Manager</t>
  </si>
  <si>
    <t>ti Steps</t>
  </si>
  <si>
    <t>Quality Analyst - QA</t>
  </si>
  <si>
    <t>Regalix</t>
  </si>
  <si>
    <t>Proposal Analyst</t>
  </si>
  <si>
    <t>Fidelis Corporate Solutions</t>
  </si>
  <si>
    <t>Pricing Analyst - Bangalore</t>
  </si>
  <si>
    <t>Redbus</t>
  </si>
  <si>
    <t>The Career Next</t>
  </si>
  <si>
    <t>Hiring Transaction Monitoring &amp; fraud investigation Analyst 7lpa</t>
  </si>
  <si>
    <t>Rivera Manpower Services</t>
  </si>
  <si>
    <t>Chartered Accountant (CA) Job as Financial Analyst in Share Market Co</t>
  </si>
  <si>
    <t>Highrise Management</t>
  </si>
  <si>
    <t>IT Project Manager/Business Analyst</t>
  </si>
  <si>
    <t>Inci Infotech</t>
  </si>
  <si>
    <t>Indore</t>
  </si>
  <si>
    <t>Digital Marketing Analyst</t>
  </si>
  <si>
    <t>Orcapod Consulting Services</t>
  </si>
  <si>
    <t>BPO MNC Hiring For  Quality Analyst ""- Noida""</t>
  </si>
  <si>
    <t>Hiring Analyst For IVRT/IVPT team</t>
  </si>
  <si>
    <t>Invitron Advanced Analytics Pvt Ltd</t>
  </si>
  <si>
    <t>WISE is hiring KYC Operations Associate Analyst in Hyderabad</t>
  </si>
  <si>
    <t>Wise Payments</t>
  </si>
  <si>
    <t>Health Care Analyst</t>
  </si>
  <si>
    <t>Smart Steps HR Services</t>
  </si>
  <si>
    <t>Quality Analyst</t>
  </si>
  <si>
    <t>PM Hr Solutions</t>
  </si>
  <si>
    <t>Data Analytics Fresher , Data Analyst Fresher</t>
  </si>
  <si>
    <t>Ablycon Global Angalore</t>
  </si>
  <si>
    <t>Accounts &amp; Financial Analyst</t>
  </si>
  <si>
    <t>Avinash Srivastava</t>
  </si>
  <si>
    <t>IIFL Finance</t>
  </si>
  <si>
    <t>SME / Team Lead / Operations / Senior Analyst / Banking / Voice / BPO/</t>
  </si>
  <si>
    <t>Inspiration Manpower Consultancy</t>
  </si>
  <si>
    <t>SOC Analyst 1</t>
  </si>
  <si>
    <t>Black Box</t>
  </si>
  <si>
    <t>Travel And Expense Analyst</t>
  </si>
  <si>
    <t>Manpowergroup Services India</t>
  </si>
  <si>
    <t>E-commerce Ads Analyst</t>
  </si>
  <si>
    <t>Exotic Mile</t>
  </si>
  <si>
    <t>Fraud Prevention Analyst - Immediate Joiner - Trust &amp; Safety&amp; AI</t>
  </si>
  <si>
    <t>Teleperformance (TP)</t>
  </si>
  <si>
    <t>Sales Quality Analyst (International)</t>
  </si>
  <si>
    <t>Walk-In Interview For GRC Analyst (Governance, Risk &amp; Compliance )</t>
  </si>
  <si>
    <t>Indecomm Business Services (india)</t>
  </si>
  <si>
    <t>Fraud Analyst : Gurgaon : Chargeback : Grads : 6.5 LPA : Apply Now</t>
  </si>
  <si>
    <t>Outpace Consulting Services</t>
  </si>
  <si>
    <t>Delhi NCR</t>
  </si>
  <si>
    <t>Market Research Analyst</t>
  </si>
  <si>
    <t>Option Matrix</t>
  </si>
  <si>
    <t>INT Service Desk Analyst @PUNE &amp; Bangalore --CALL - Fatima</t>
  </si>
  <si>
    <t>KVC CONSULTANTS LTD</t>
  </si>
  <si>
    <t>Spot Offer For Fraud Analyst Sal Up To 5.5 L</t>
  </si>
  <si>
    <t>Wroots Global</t>
  </si>
  <si>
    <t>Business Analyst</t>
  </si>
  <si>
    <t>Seligo Consultants</t>
  </si>
  <si>
    <t>Quality Analyst Chennai || International Process Only || 6 LPA</t>
  </si>
  <si>
    <t>Hiresquad</t>
  </si>
  <si>
    <t>Transaction Monitoring/KYC / KYB Analyst Sal Upto 5.5Lpa-6Lpa</t>
  </si>
  <si>
    <t>The Job Factory</t>
  </si>
  <si>
    <t>Hiring freshers For Technical Support Analyst Role!!CTC UPTO 5Lac</t>
  </si>
  <si>
    <t>Urgent Opening -AR Analyst/AR Senior Analyst (PA/SPA)</t>
  </si>
  <si>
    <t>Value Rcm Solutions</t>
  </si>
  <si>
    <t>Accounts Payable Analyst (P2P/PTP/Procure To Pay) - NP 20 days Only</t>
  </si>
  <si>
    <t>Manning Consulting</t>
  </si>
  <si>
    <t>Save Solutions</t>
  </si>
  <si>
    <t>Business Analyst / Fintech Domain</t>
  </si>
  <si>
    <t>GGSH &amp; Co LLP</t>
  </si>
  <si>
    <t>Sr.AR Analyst</t>
  </si>
  <si>
    <t>Planedway Services</t>
  </si>
  <si>
    <t>Research Analyst</t>
  </si>
  <si>
    <t>HRH Group of Hotels</t>
  </si>
  <si>
    <t>Udaipur</t>
  </si>
  <si>
    <t>Diligen Professional Solutions</t>
  </si>
  <si>
    <t>Order To Cash Analyst</t>
  </si>
  <si>
    <t>Quality Analyst - BPO - Healthcare</t>
  </si>
  <si>
    <t>Job World</t>
  </si>
  <si>
    <t>AML- KYC Analyst</t>
  </si>
  <si>
    <t>Mumbai</t>
  </si>
  <si>
    <t>PrimaFelicitas</t>
  </si>
  <si>
    <t>M/S Paramount Consulting</t>
  </si>
  <si>
    <t>Hybrid - Noida</t>
  </si>
  <si>
    <t>Banking Documents Review Analyst International Banking Bangalore</t>
  </si>
  <si>
    <t>White Horse Manpower Consultancy</t>
  </si>
  <si>
    <t>Hiring For Service Desk Analyst and Incident Analyst</t>
  </si>
  <si>
    <t>FSP Solutions</t>
  </si>
  <si>
    <t>Goregaon</t>
  </si>
  <si>
    <t>Urgent Openings For Data Science/Data Analyst Trainer</t>
  </si>
  <si>
    <t>Nettech</t>
  </si>
  <si>
    <t>Real Time Analyst</t>
  </si>
  <si>
    <t>TELUS Digital</t>
  </si>
  <si>
    <t>Claim Analyst</t>
  </si>
  <si>
    <t>Entra Solutions</t>
  </si>
  <si>
    <t>North East Hire Purchase Company (india)</t>
  </si>
  <si>
    <t>Tax Analyst (Canada)</t>
  </si>
  <si>
    <t>Cinovations Business Solutions</t>
  </si>
  <si>
    <t>Hybrid - Kochi</t>
  </si>
  <si>
    <t>Persolkelly India</t>
  </si>
  <si>
    <t>Hybrid - Gurugram</t>
  </si>
  <si>
    <t>Quality Control Analyst</t>
  </si>
  <si>
    <t>Fishfa Biogenics</t>
  </si>
  <si>
    <t>Rajkot</t>
  </si>
  <si>
    <t>Accounts Payable Analyst</t>
  </si>
  <si>
    <t>Shrutanya Info Solutions</t>
  </si>
  <si>
    <t>MIS Analyst - Bangalore ( Only Immediate Joiners Apply )</t>
  </si>
  <si>
    <t>Amit Gaikwad</t>
  </si>
  <si>
    <t>Vkyc Analyst- Urgent Hiring</t>
  </si>
  <si>
    <t>Unity Small Finance Bank</t>
  </si>
  <si>
    <t>Academy Instructor &amp; Research Analyst : Stock/ Equity/Capital Markets</t>
  </si>
  <si>
    <t>Green Hedge Capital</t>
  </si>
  <si>
    <t>Amritsar</t>
  </si>
  <si>
    <t>Medical Coding Analyst</t>
  </si>
  <si>
    <t>Achievers Spot</t>
  </si>
  <si>
    <t>Hiring Quality Analyst (Only from US Travel ) Noida</t>
  </si>
  <si>
    <t>Sharda Consultancy Services</t>
  </si>
  <si>
    <t>Call Quality Analyst</t>
  </si>
  <si>
    <t>Qdegrees Services</t>
  </si>
  <si>
    <t>Quality Analyst - Looking For Equity Dealer Experience Only</t>
  </si>
  <si>
    <t>Sbicap Securities</t>
  </si>
  <si>
    <t>Kanpur</t>
  </si>
  <si>
    <t>Financial Analyst-Off Role</t>
  </si>
  <si>
    <t>Titan Company</t>
  </si>
  <si>
    <t>Analyst -Special Reconciliation Assets</t>
  </si>
  <si>
    <t>Adecco India</t>
  </si>
  <si>
    <t>Reference Data Analyst</t>
  </si>
  <si>
    <t>Artech</t>
  </si>
  <si>
    <t>Credit Analyst / Credit Associate / Credit Manager</t>
  </si>
  <si>
    <t>Aurum Management Consultancy</t>
  </si>
  <si>
    <t>Mis Analyst</t>
  </si>
  <si>
    <t>US Insurance Claims Analyst</t>
  </si>
  <si>
    <t>Edurun</t>
  </si>
  <si>
    <t>Carbon forestry Project: Field Analyst</t>
  </si>
  <si>
    <t>Greenated Clima Tech Private Limited</t>
  </si>
  <si>
    <t>PRO Hr Complete Solutions</t>
  </si>
  <si>
    <t>Quality Analyst, Call Auditing</t>
  </si>
  <si>
    <t>Shinewell Consultants Bangalore</t>
  </si>
  <si>
    <t>Accounting And Taxation Analyst</t>
  </si>
  <si>
    <t>Vakilsearch</t>
  </si>
  <si>
    <t>Cybersecurity Specialist / Analyst</t>
  </si>
  <si>
    <t>Customer Risk Analyst Executive</t>
  </si>
  <si>
    <t>Kotak Mahindra Bank</t>
  </si>
  <si>
    <t>AR Caller Cum Analyst</t>
  </si>
  <si>
    <t>Nsight Solutions</t>
  </si>
  <si>
    <t>Mazda Consultancy Services</t>
  </si>
  <si>
    <t>Sales Executive For Field- Business Analyst</t>
  </si>
  <si>
    <t>Dlyft India Llp</t>
  </si>
  <si>
    <t>Rohtak</t>
  </si>
  <si>
    <t>Mysuru</t>
  </si>
  <si>
    <t>Select Job ID</t>
  </si>
  <si>
    <t>Job Title:</t>
  </si>
  <si>
    <t>Company:</t>
  </si>
  <si>
    <t>Location:</t>
  </si>
  <si>
    <t>Mid Salary: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</si>
</sst>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1" fontId="0" fillId="0" borderId="0" xfId="1" applyNumberFormat="1" applyFont="1"/>
    <xf numFmtId="0" fontId="16" fillId="0" borderId="0" xfId="0" applyFont="1"/>
    <xf numFmtId="0" fontId="18" fillId="33" borderId="11" xfId="0" applyFont="1" applyFill="1" applyBorder="1"/>
    <xf numFmtId="1" fontId="18" fillId="33" borderId="12" xfId="0" applyNumberFormat="1" applyFont="1" applyFill="1" applyBorder="1"/>
    <xf numFmtId="0" fontId="18" fillId="34" borderId="11" xfId="0" applyFont="1" applyFill="1" applyBorder="1"/>
    <xf numFmtId="0" fontId="16" fillId="34" borderId="12" xfId="0" applyFont="1" applyFill="1" applyBorder="1"/>
    <xf numFmtId="170" fontId="16" fillId="34" borderId="12" xfId="0" applyNumberFormat="1" applyFont="1" applyFill="1" applyBorder="1" applyAlignment="1"/>
    <xf numFmtId="0" fontId="18" fillId="34" borderId="10" xfId="0" applyFont="1" applyFill="1" applyBorder="1"/>
    <xf numFmtId="0" fontId="16" fillId="34" borderId="13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F737C-D4BD-4654-A1F6-C9F14D0533D9}" name="JobsData" displayName="JobsData" ref="A1:H101" totalsRowShown="0">
  <autoFilter ref="A1:H101" xr:uid="{3A4F737C-D4BD-4654-A1F6-C9F14D0533D9}"/>
  <tableColumns count="8">
    <tableColumn id="1" xr3:uid="{4BA17754-FEA6-43EF-86C0-C3D6533FE5AC}" name="jobId" dataDxfId="0" dataCellStyle="Per cent"/>
    <tableColumn id="2" xr3:uid="{F2F42696-0DD2-4A25-9136-468F12F75B2A}" name="title"/>
    <tableColumn id="3" xr3:uid="{88C1A855-6374-4DDF-ADD1-D0A9D082FCB6}" name="companyName"/>
    <tableColumn id="4" xr3:uid="{17359171-8D26-4893-8037-1688F8A5A025}" name="Industry"/>
    <tableColumn id="5" xr3:uid="{4F67817A-5B78-467A-8967-1B7A6FFEE633}" name="Clean_City"/>
    <tableColumn id="6" xr3:uid="{BDF7B4F6-096C-4A93-930F-F3D0D9DD5C2D}" name="Min_Salary"/>
    <tableColumn id="7" xr3:uid="{4B31F5BC-24FD-421F-B193-77F33B2786A1}" name="Max_Salary"/>
    <tableColumn id="8" xr3:uid="{7D2D9BC1-F7C6-496A-8DC7-D8654077D37A}" name="Mid_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3F9B-594C-4AC0-8505-21D200A241AC}">
  <dimension ref="A1:Q101"/>
  <sheetViews>
    <sheetView topLeftCell="A2" zoomScale="85" zoomScaleNormal="85" workbookViewId="0">
      <selection activeCell="B25" sqref="B25"/>
    </sheetView>
  </sheetViews>
  <sheetFormatPr defaultRowHeight="15" x14ac:dyDescent="0.25"/>
  <cols>
    <col min="1" max="1" width="13.42578125" style="2" bestFit="1" customWidth="1"/>
    <col min="2" max="2" width="73.85546875" bestFit="1" customWidth="1"/>
    <col min="3" max="3" width="40.28515625" bestFit="1" customWidth="1"/>
    <col min="4" max="4" width="19.85546875" bestFit="1" customWidth="1"/>
    <col min="5" max="5" width="26.140625" bestFit="1" customWidth="1"/>
    <col min="6" max="6" width="13.28515625" bestFit="1" customWidth="1"/>
    <col min="7" max="7" width="13.140625" customWidth="1"/>
    <col min="8" max="8" width="12.5703125" customWidth="1"/>
  </cols>
  <sheetData>
    <row r="1" spans="1:8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>
        <v>300925000173</v>
      </c>
      <c r="B2" t="s">
        <v>8</v>
      </c>
      <c r="C2" t="s">
        <v>9</v>
      </c>
      <c r="D2" t="s">
        <v>10</v>
      </c>
      <c r="E2" t="s">
        <v>11</v>
      </c>
      <c r="F2">
        <v>1500000</v>
      </c>
      <c r="G2">
        <v>1600000</v>
      </c>
      <c r="H2">
        <v>1550000</v>
      </c>
    </row>
    <row r="3" spans="1:8" x14ac:dyDescent="0.25">
      <c r="A3" s="2">
        <v>290925017582</v>
      </c>
      <c r="B3" t="s">
        <v>12</v>
      </c>
      <c r="C3" t="s">
        <v>13</v>
      </c>
      <c r="D3" t="s">
        <v>10</v>
      </c>
      <c r="E3" t="s">
        <v>14</v>
      </c>
      <c r="F3">
        <v>1300000</v>
      </c>
      <c r="G3">
        <v>1800000</v>
      </c>
      <c r="H3">
        <v>1550000</v>
      </c>
    </row>
    <row r="4" spans="1:8" x14ac:dyDescent="0.25">
      <c r="A4" s="2">
        <v>260925027965</v>
      </c>
      <c r="B4" t="s">
        <v>15</v>
      </c>
      <c r="C4" t="s">
        <v>16</v>
      </c>
      <c r="D4" t="s">
        <v>17</v>
      </c>
      <c r="E4" t="s">
        <v>18</v>
      </c>
      <c r="F4">
        <v>1000000</v>
      </c>
      <c r="G4">
        <v>2000000</v>
      </c>
      <c r="H4">
        <v>1500000</v>
      </c>
    </row>
    <row r="5" spans="1:8" x14ac:dyDescent="0.25">
      <c r="A5" s="2">
        <v>290925014453</v>
      </c>
      <c r="B5" t="s">
        <v>19</v>
      </c>
      <c r="C5" t="s">
        <v>20</v>
      </c>
      <c r="D5" t="s">
        <v>21</v>
      </c>
      <c r="E5" t="s">
        <v>22</v>
      </c>
      <c r="F5">
        <v>1000000</v>
      </c>
      <c r="G5">
        <v>1500000</v>
      </c>
      <c r="H5">
        <v>1250000</v>
      </c>
    </row>
    <row r="6" spans="1:8" x14ac:dyDescent="0.25">
      <c r="A6" s="2">
        <v>11025915421</v>
      </c>
      <c r="B6" t="s">
        <v>23</v>
      </c>
      <c r="C6" t="s">
        <v>24</v>
      </c>
      <c r="D6" t="s">
        <v>17</v>
      </c>
      <c r="E6" t="s">
        <v>25</v>
      </c>
      <c r="F6">
        <v>600000</v>
      </c>
      <c r="G6">
        <v>1600000</v>
      </c>
      <c r="H6">
        <v>1100000</v>
      </c>
    </row>
    <row r="7" spans="1:8" x14ac:dyDescent="0.25">
      <c r="A7" s="2">
        <v>11025915410</v>
      </c>
      <c r="B7" t="s">
        <v>26</v>
      </c>
      <c r="C7" t="s">
        <v>24</v>
      </c>
      <c r="D7" t="s">
        <v>17</v>
      </c>
      <c r="E7" t="s">
        <v>22</v>
      </c>
      <c r="F7">
        <v>1000000</v>
      </c>
      <c r="G7">
        <v>1200000</v>
      </c>
      <c r="H7">
        <v>1100000</v>
      </c>
    </row>
    <row r="8" spans="1:8" x14ac:dyDescent="0.25">
      <c r="A8" s="2">
        <v>250925023466</v>
      </c>
      <c r="B8" t="s">
        <v>27</v>
      </c>
      <c r="C8" t="s">
        <v>28</v>
      </c>
      <c r="D8" t="s">
        <v>10</v>
      </c>
      <c r="E8" t="s">
        <v>29</v>
      </c>
      <c r="F8">
        <v>600000</v>
      </c>
      <c r="G8">
        <v>1600000</v>
      </c>
      <c r="H8">
        <v>1100000</v>
      </c>
    </row>
    <row r="9" spans="1:8" x14ac:dyDescent="0.25">
      <c r="A9" s="2">
        <v>250825015191</v>
      </c>
      <c r="B9" t="s">
        <v>30</v>
      </c>
      <c r="C9" t="s">
        <v>31</v>
      </c>
      <c r="D9" t="s">
        <v>17</v>
      </c>
      <c r="E9" t="s">
        <v>22</v>
      </c>
      <c r="F9">
        <v>900000</v>
      </c>
      <c r="G9">
        <v>1100000</v>
      </c>
      <c r="H9">
        <v>1000000</v>
      </c>
    </row>
    <row r="10" spans="1:8" x14ac:dyDescent="0.25">
      <c r="A10" s="2">
        <v>120925027012</v>
      </c>
      <c r="B10" t="s">
        <v>32</v>
      </c>
      <c r="C10" t="s">
        <v>33</v>
      </c>
      <c r="D10" t="s">
        <v>34</v>
      </c>
      <c r="E10" t="s">
        <v>35</v>
      </c>
      <c r="F10">
        <v>750000</v>
      </c>
      <c r="G10">
        <v>950000</v>
      </c>
      <c r="H10">
        <v>850000</v>
      </c>
    </row>
    <row r="11" spans="1:8" x14ac:dyDescent="0.25">
      <c r="A11" s="2">
        <v>31025007528</v>
      </c>
      <c r="B11" t="s">
        <v>36</v>
      </c>
      <c r="C11" t="s">
        <v>37</v>
      </c>
      <c r="D11" t="s">
        <v>34</v>
      </c>
      <c r="E11" t="s">
        <v>38</v>
      </c>
      <c r="F11">
        <v>700000</v>
      </c>
      <c r="G11">
        <v>900000</v>
      </c>
      <c r="H11">
        <v>800000</v>
      </c>
    </row>
    <row r="12" spans="1:8" x14ac:dyDescent="0.25">
      <c r="A12" s="2">
        <v>290925020992</v>
      </c>
      <c r="B12" t="s">
        <v>39</v>
      </c>
      <c r="C12" t="s">
        <v>40</v>
      </c>
      <c r="D12" t="s">
        <v>34</v>
      </c>
      <c r="E12" t="s">
        <v>14</v>
      </c>
      <c r="F12">
        <v>600000</v>
      </c>
      <c r="G12">
        <v>1000000</v>
      </c>
      <c r="H12">
        <v>800000</v>
      </c>
    </row>
    <row r="13" spans="1:8" x14ac:dyDescent="0.25">
      <c r="A13" s="2">
        <v>31025002377</v>
      </c>
      <c r="B13" t="s">
        <v>41</v>
      </c>
      <c r="C13" t="s">
        <v>42</v>
      </c>
      <c r="D13" t="s">
        <v>34</v>
      </c>
      <c r="E13" t="s">
        <v>43</v>
      </c>
      <c r="F13">
        <v>500000</v>
      </c>
      <c r="G13">
        <v>1000000</v>
      </c>
      <c r="H13">
        <v>750000</v>
      </c>
    </row>
    <row r="14" spans="1:8" x14ac:dyDescent="0.25">
      <c r="A14" s="2">
        <v>290925012467</v>
      </c>
      <c r="B14" t="s">
        <v>44</v>
      </c>
      <c r="C14" t="s">
        <v>45</v>
      </c>
      <c r="D14" t="s">
        <v>46</v>
      </c>
      <c r="E14" t="s">
        <v>47</v>
      </c>
      <c r="F14">
        <v>500000</v>
      </c>
      <c r="G14">
        <v>950000</v>
      </c>
      <c r="H14">
        <v>725000</v>
      </c>
    </row>
    <row r="15" spans="1:8" x14ac:dyDescent="0.25">
      <c r="A15" s="2">
        <v>240925026432</v>
      </c>
      <c r="B15" t="s">
        <v>48</v>
      </c>
      <c r="C15" t="s">
        <v>49</v>
      </c>
      <c r="D15" t="s">
        <v>34</v>
      </c>
      <c r="E15" t="s">
        <v>50</v>
      </c>
      <c r="F15">
        <v>500000</v>
      </c>
      <c r="G15">
        <v>850000</v>
      </c>
      <c r="H15">
        <v>675000</v>
      </c>
    </row>
    <row r="16" spans="1:8" x14ac:dyDescent="0.25">
      <c r="A16" s="2">
        <v>31025011927</v>
      </c>
      <c r="B16" t="s">
        <v>51</v>
      </c>
      <c r="C16" t="s">
        <v>52</v>
      </c>
      <c r="D16" t="s">
        <v>53</v>
      </c>
      <c r="E16" t="s">
        <v>54</v>
      </c>
      <c r="F16">
        <v>400000</v>
      </c>
      <c r="G16">
        <v>900000</v>
      </c>
      <c r="H16">
        <v>650000</v>
      </c>
    </row>
    <row r="17" spans="1:17" x14ac:dyDescent="0.25">
      <c r="A17" s="2">
        <v>240925932617</v>
      </c>
      <c r="B17" t="s">
        <v>55</v>
      </c>
      <c r="C17" t="s">
        <v>56</v>
      </c>
      <c r="D17" t="s">
        <v>10</v>
      </c>
      <c r="E17" t="s">
        <v>57</v>
      </c>
      <c r="F17">
        <v>450000</v>
      </c>
      <c r="G17">
        <v>850000</v>
      </c>
      <c r="H17">
        <v>650000</v>
      </c>
    </row>
    <row r="18" spans="1:17" x14ac:dyDescent="0.25">
      <c r="A18" s="2">
        <v>260925026869</v>
      </c>
      <c r="B18" t="s">
        <v>58</v>
      </c>
      <c r="C18" t="s">
        <v>59</v>
      </c>
      <c r="D18" t="s">
        <v>34</v>
      </c>
      <c r="E18" t="s">
        <v>35</v>
      </c>
      <c r="F18">
        <v>400000</v>
      </c>
      <c r="G18">
        <v>900000</v>
      </c>
      <c r="H18">
        <v>650000</v>
      </c>
    </row>
    <row r="19" spans="1:17" x14ac:dyDescent="0.25">
      <c r="A19" s="2">
        <v>300925020957</v>
      </c>
      <c r="B19" t="s">
        <v>60</v>
      </c>
      <c r="C19" t="s">
        <v>61</v>
      </c>
      <c r="D19" t="s">
        <v>34</v>
      </c>
      <c r="E19" t="s">
        <v>62</v>
      </c>
      <c r="F19">
        <v>600000</v>
      </c>
      <c r="G19">
        <v>650000</v>
      </c>
      <c r="H19">
        <v>625000</v>
      </c>
    </row>
    <row r="20" spans="1:17" x14ac:dyDescent="0.25">
      <c r="A20" s="2">
        <v>120925005929</v>
      </c>
      <c r="B20" t="s">
        <v>63</v>
      </c>
      <c r="C20" t="s">
        <v>31</v>
      </c>
      <c r="D20" t="s">
        <v>17</v>
      </c>
      <c r="E20" t="s">
        <v>50</v>
      </c>
      <c r="F20">
        <v>500000</v>
      </c>
      <c r="G20">
        <v>750000</v>
      </c>
      <c r="H20">
        <v>625000</v>
      </c>
    </row>
    <row r="21" spans="1:17" x14ac:dyDescent="0.25">
      <c r="A21" s="2">
        <v>300925024647</v>
      </c>
      <c r="B21" t="s">
        <v>27</v>
      </c>
      <c r="C21" t="s">
        <v>64</v>
      </c>
      <c r="D21" t="s">
        <v>10</v>
      </c>
      <c r="E21" t="s">
        <v>29</v>
      </c>
      <c r="F21">
        <v>400000</v>
      </c>
      <c r="G21">
        <v>800000</v>
      </c>
      <c r="H21">
        <v>600000</v>
      </c>
    </row>
    <row r="22" spans="1:17" x14ac:dyDescent="0.25">
      <c r="A22" s="2">
        <v>230925019246</v>
      </c>
      <c r="B22" t="s">
        <v>65</v>
      </c>
      <c r="C22" t="s">
        <v>66</v>
      </c>
      <c r="D22" t="s">
        <v>10</v>
      </c>
      <c r="E22" t="s">
        <v>29</v>
      </c>
      <c r="F22">
        <v>500000</v>
      </c>
      <c r="G22">
        <v>700000</v>
      </c>
      <c r="H22">
        <v>600000</v>
      </c>
    </row>
    <row r="23" spans="1:17" x14ac:dyDescent="0.25">
      <c r="A23" s="2">
        <v>290925024222</v>
      </c>
      <c r="B23" t="s">
        <v>67</v>
      </c>
      <c r="C23" t="s">
        <v>68</v>
      </c>
      <c r="D23" t="s">
        <v>34</v>
      </c>
      <c r="E23" t="s">
        <v>22</v>
      </c>
      <c r="F23">
        <v>500000</v>
      </c>
      <c r="G23">
        <v>700000</v>
      </c>
      <c r="H23">
        <v>600000</v>
      </c>
    </row>
    <row r="24" spans="1:17" x14ac:dyDescent="0.25">
      <c r="A24" s="2">
        <v>250925011092</v>
      </c>
      <c r="B24" t="s">
        <v>69</v>
      </c>
      <c r="C24" t="s">
        <v>70</v>
      </c>
      <c r="D24" t="s">
        <v>10</v>
      </c>
      <c r="E24" t="s">
        <v>22</v>
      </c>
      <c r="F24">
        <v>500000</v>
      </c>
      <c r="G24">
        <v>650000</v>
      </c>
      <c r="H24">
        <v>575000</v>
      </c>
    </row>
    <row r="25" spans="1:17" x14ac:dyDescent="0.25">
      <c r="A25" s="2">
        <v>270225016043</v>
      </c>
      <c r="B25" t="s">
        <v>41</v>
      </c>
      <c r="C25" t="s">
        <v>71</v>
      </c>
      <c r="D25" t="s">
        <v>46</v>
      </c>
      <c r="E25" t="s">
        <v>35</v>
      </c>
      <c r="F25">
        <v>325000</v>
      </c>
      <c r="G25">
        <v>825000</v>
      </c>
      <c r="H25">
        <v>575000</v>
      </c>
    </row>
    <row r="26" spans="1:17" x14ac:dyDescent="0.25">
      <c r="A26" s="2">
        <v>11025022478</v>
      </c>
      <c r="B26" t="s">
        <v>72</v>
      </c>
      <c r="C26" t="s">
        <v>73</v>
      </c>
      <c r="D26" t="s">
        <v>53</v>
      </c>
      <c r="E26" t="s">
        <v>22</v>
      </c>
      <c r="F26">
        <v>425000</v>
      </c>
      <c r="G26">
        <v>700000</v>
      </c>
      <c r="H26">
        <v>562500</v>
      </c>
    </row>
    <row r="27" spans="1:17" x14ac:dyDescent="0.25">
      <c r="A27" s="2">
        <v>31025009034</v>
      </c>
      <c r="B27" t="s">
        <v>74</v>
      </c>
      <c r="C27" t="s">
        <v>75</v>
      </c>
      <c r="D27" t="s">
        <v>46</v>
      </c>
      <c r="E27" t="s">
        <v>25</v>
      </c>
      <c r="F27">
        <v>500000</v>
      </c>
      <c r="G27">
        <v>600000</v>
      </c>
      <c r="H27">
        <v>550000</v>
      </c>
    </row>
    <row r="28" spans="1:17" x14ac:dyDescent="0.25">
      <c r="A28" s="2">
        <v>230925037312</v>
      </c>
      <c r="B28" t="s">
        <v>76</v>
      </c>
      <c r="C28" t="s">
        <v>77</v>
      </c>
      <c r="D28" t="s">
        <v>34</v>
      </c>
      <c r="E28" t="s">
        <v>78</v>
      </c>
      <c r="F28">
        <v>300000</v>
      </c>
      <c r="G28">
        <v>800000</v>
      </c>
      <c r="H28">
        <v>550000</v>
      </c>
    </row>
    <row r="29" spans="1:17" x14ac:dyDescent="0.25">
      <c r="A29" s="2">
        <v>270625036686</v>
      </c>
      <c r="B29" t="s">
        <v>79</v>
      </c>
      <c r="C29" t="s">
        <v>80</v>
      </c>
      <c r="D29" t="s">
        <v>34</v>
      </c>
      <c r="E29" t="s">
        <v>29</v>
      </c>
      <c r="F29">
        <v>400000</v>
      </c>
      <c r="G29">
        <v>700000</v>
      </c>
      <c r="H29">
        <v>550000</v>
      </c>
    </row>
    <row r="30" spans="1:17" x14ac:dyDescent="0.25">
      <c r="A30" s="2">
        <v>11025022655</v>
      </c>
      <c r="B30" t="s">
        <v>81</v>
      </c>
      <c r="C30" t="s">
        <v>40</v>
      </c>
      <c r="D30" t="s">
        <v>34</v>
      </c>
      <c r="E30" t="s">
        <v>54</v>
      </c>
      <c r="F30">
        <v>400000</v>
      </c>
      <c r="G30">
        <v>700000</v>
      </c>
      <c r="H30">
        <v>550000</v>
      </c>
      <c r="Q30" s="1"/>
    </row>
    <row r="31" spans="1:17" x14ac:dyDescent="0.25">
      <c r="A31" s="2">
        <v>240925026854</v>
      </c>
      <c r="B31" t="s">
        <v>82</v>
      </c>
      <c r="C31" t="s">
        <v>83</v>
      </c>
      <c r="D31" t="s">
        <v>34</v>
      </c>
      <c r="E31" t="s">
        <v>29</v>
      </c>
      <c r="F31">
        <v>300000</v>
      </c>
      <c r="G31">
        <v>800000</v>
      </c>
      <c r="H31">
        <v>550000</v>
      </c>
    </row>
    <row r="32" spans="1:17" x14ac:dyDescent="0.25">
      <c r="A32" s="2">
        <v>150725021543</v>
      </c>
      <c r="B32" t="s">
        <v>84</v>
      </c>
      <c r="C32" t="s">
        <v>85</v>
      </c>
      <c r="D32" t="s">
        <v>10</v>
      </c>
      <c r="E32" t="s">
        <v>29</v>
      </c>
      <c r="F32">
        <v>500000</v>
      </c>
      <c r="G32">
        <v>600000</v>
      </c>
      <c r="H32">
        <v>550000</v>
      </c>
    </row>
    <row r="33" spans="1:8" x14ac:dyDescent="0.25">
      <c r="A33" s="2">
        <v>300725022021</v>
      </c>
      <c r="B33" t="s">
        <v>86</v>
      </c>
      <c r="C33" t="s">
        <v>87</v>
      </c>
      <c r="D33" t="s">
        <v>46</v>
      </c>
      <c r="E33" t="s">
        <v>54</v>
      </c>
      <c r="F33">
        <v>500000</v>
      </c>
      <c r="G33">
        <v>600000</v>
      </c>
      <c r="H33">
        <v>550000</v>
      </c>
    </row>
    <row r="34" spans="1:8" x14ac:dyDescent="0.25">
      <c r="A34" s="2">
        <v>240925009165</v>
      </c>
      <c r="B34" t="s">
        <v>88</v>
      </c>
      <c r="C34" t="s">
        <v>89</v>
      </c>
      <c r="D34" t="s">
        <v>34</v>
      </c>
      <c r="E34" t="s">
        <v>54</v>
      </c>
      <c r="F34">
        <v>500000</v>
      </c>
      <c r="G34">
        <v>600000</v>
      </c>
      <c r="H34">
        <v>550000</v>
      </c>
    </row>
    <row r="35" spans="1:8" x14ac:dyDescent="0.25">
      <c r="A35" s="2">
        <v>120525025178</v>
      </c>
      <c r="B35" t="s">
        <v>90</v>
      </c>
      <c r="C35" t="s">
        <v>91</v>
      </c>
      <c r="D35" t="s">
        <v>10</v>
      </c>
      <c r="E35" t="s">
        <v>29</v>
      </c>
      <c r="F35">
        <v>425000</v>
      </c>
      <c r="G35">
        <v>650000</v>
      </c>
      <c r="H35">
        <v>537500</v>
      </c>
    </row>
    <row r="36" spans="1:8" x14ac:dyDescent="0.25">
      <c r="A36" s="2">
        <v>240925000291</v>
      </c>
      <c r="B36" t="s">
        <v>92</v>
      </c>
      <c r="C36" t="s">
        <v>93</v>
      </c>
      <c r="D36" t="s">
        <v>10</v>
      </c>
      <c r="E36" t="s">
        <v>29</v>
      </c>
      <c r="F36">
        <v>425000</v>
      </c>
      <c r="G36">
        <v>650000</v>
      </c>
      <c r="H36">
        <v>537500</v>
      </c>
    </row>
    <row r="37" spans="1:8" x14ac:dyDescent="0.25">
      <c r="A37" s="2">
        <v>290925006065</v>
      </c>
      <c r="B37" t="s">
        <v>41</v>
      </c>
      <c r="C37" t="s">
        <v>94</v>
      </c>
      <c r="D37" t="s">
        <v>17</v>
      </c>
      <c r="E37" t="s">
        <v>54</v>
      </c>
      <c r="F37">
        <v>400000</v>
      </c>
      <c r="G37">
        <v>650000</v>
      </c>
      <c r="H37">
        <v>525000</v>
      </c>
    </row>
    <row r="38" spans="1:8" x14ac:dyDescent="0.25">
      <c r="A38" s="2">
        <v>230925014023</v>
      </c>
      <c r="B38" t="s">
        <v>95</v>
      </c>
      <c r="C38" t="s">
        <v>96</v>
      </c>
      <c r="D38" t="s">
        <v>53</v>
      </c>
      <c r="E38" t="s">
        <v>35</v>
      </c>
      <c r="F38">
        <v>300000</v>
      </c>
      <c r="G38">
        <v>750000</v>
      </c>
      <c r="H38">
        <v>525000</v>
      </c>
    </row>
    <row r="39" spans="1:8" x14ac:dyDescent="0.25">
      <c r="A39" s="2">
        <v>240925022799</v>
      </c>
      <c r="B39" t="s">
        <v>97</v>
      </c>
      <c r="C39" t="s">
        <v>98</v>
      </c>
      <c r="D39" t="s">
        <v>10</v>
      </c>
      <c r="E39" t="s">
        <v>22</v>
      </c>
      <c r="F39">
        <v>450000</v>
      </c>
      <c r="G39">
        <v>550000</v>
      </c>
      <c r="H39">
        <v>500000</v>
      </c>
    </row>
    <row r="40" spans="1:8" x14ac:dyDescent="0.25">
      <c r="A40" s="2">
        <v>40925016342</v>
      </c>
      <c r="B40" t="s">
        <v>99</v>
      </c>
      <c r="C40" t="s">
        <v>100</v>
      </c>
      <c r="D40" t="s">
        <v>53</v>
      </c>
      <c r="E40" t="s">
        <v>29</v>
      </c>
      <c r="F40">
        <v>300000</v>
      </c>
      <c r="G40">
        <v>700000</v>
      </c>
      <c r="H40">
        <v>500000</v>
      </c>
    </row>
    <row r="41" spans="1:8" x14ac:dyDescent="0.25">
      <c r="A41" s="2">
        <v>40925026988</v>
      </c>
      <c r="B41" t="s">
        <v>101</v>
      </c>
      <c r="C41" t="s">
        <v>102</v>
      </c>
      <c r="D41" t="s">
        <v>10</v>
      </c>
      <c r="E41" t="s">
        <v>54</v>
      </c>
      <c r="F41">
        <v>350000</v>
      </c>
      <c r="G41">
        <v>650000</v>
      </c>
      <c r="H41">
        <v>500000</v>
      </c>
    </row>
    <row r="42" spans="1:8" x14ac:dyDescent="0.25">
      <c r="A42" s="2">
        <v>300925029704</v>
      </c>
      <c r="B42" t="s">
        <v>103</v>
      </c>
      <c r="C42" t="s">
        <v>104</v>
      </c>
      <c r="D42" t="s">
        <v>10</v>
      </c>
      <c r="E42" t="s">
        <v>29</v>
      </c>
      <c r="F42">
        <v>450000</v>
      </c>
      <c r="G42">
        <v>550000</v>
      </c>
      <c r="H42">
        <v>500000</v>
      </c>
    </row>
    <row r="43" spans="1:8" x14ac:dyDescent="0.25">
      <c r="A43" s="2">
        <v>290925010761</v>
      </c>
      <c r="B43" t="s">
        <v>105</v>
      </c>
      <c r="C43" t="s">
        <v>104</v>
      </c>
      <c r="D43" t="s">
        <v>10</v>
      </c>
      <c r="E43" t="s">
        <v>29</v>
      </c>
      <c r="F43">
        <v>450000</v>
      </c>
      <c r="G43">
        <v>550000</v>
      </c>
      <c r="H43">
        <v>500000</v>
      </c>
    </row>
    <row r="44" spans="1:8" x14ac:dyDescent="0.25">
      <c r="A44" s="2">
        <v>80925015784</v>
      </c>
      <c r="B44" t="s">
        <v>106</v>
      </c>
      <c r="C44" t="s">
        <v>107</v>
      </c>
      <c r="D44" t="s">
        <v>46</v>
      </c>
      <c r="E44" t="s">
        <v>22</v>
      </c>
      <c r="F44">
        <v>300000</v>
      </c>
      <c r="G44">
        <v>700000</v>
      </c>
      <c r="H44">
        <v>500000</v>
      </c>
    </row>
    <row r="45" spans="1:8" x14ac:dyDescent="0.25">
      <c r="A45" s="2">
        <v>70525005146</v>
      </c>
      <c r="B45" t="s">
        <v>108</v>
      </c>
      <c r="C45" t="s">
        <v>109</v>
      </c>
      <c r="D45" t="s">
        <v>34</v>
      </c>
      <c r="E45" t="s">
        <v>110</v>
      </c>
      <c r="F45">
        <v>350000</v>
      </c>
      <c r="G45">
        <v>650000</v>
      </c>
      <c r="H45">
        <v>500000</v>
      </c>
    </row>
    <row r="46" spans="1:8" x14ac:dyDescent="0.25">
      <c r="A46" s="2">
        <v>250925023028</v>
      </c>
      <c r="B46" t="s">
        <v>111</v>
      </c>
      <c r="C46" t="s">
        <v>112</v>
      </c>
      <c r="D46" t="s">
        <v>10</v>
      </c>
      <c r="E46" t="s">
        <v>29</v>
      </c>
      <c r="F46">
        <v>350000</v>
      </c>
      <c r="G46">
        <v>650000</v>
      </c>
      <c r="H46">
        <v>500000</v>
      </c>
    </row>
    <row r="47" spans="1:8" x14ac:dyDescent="0.25">
      <c r="A47" s="2">
        <v>110425005573</v>
      </c>
      <c r="B47" t="s">
        <v>113</v>
      </c>
      <c r="C47" t="s">
        <v>114</v>
      </c>
      <c r="D47" t="s">
        <v>21</v>
      </c>
      <c r="E47" t="s">
        <v>57</v>
      </c>
      <c r="F47">
        <v>300000</v>
      </c>
      <c r="G47">
        <v>700000</v>
      </c>
      <c r="H47">
        <v>500000</v>
      </c>
    </row>
    <row r="48" spans="1:8" x14ac:dyDescent="0.25">
      <c r="A48" s="2">
        <v>260925026247</v>
      </c>
      <c r="B48" t="s">
        <v>115</v>
      </c>
      <c r="C48" t="s">
        <v>116</v>
      </c>
      <c r="D48" t="s">
        <v>10</v>
      </c>
      <c r="E48" t="s">
        <v>22</v>
      </c>
      <c r="F48">
        <v>400000</v>
      </c>
      <c r="G48">
        <v>550000</v>
      </c>
      <c r="H48">
        <v>475000</v>
      </c>
    </row>
    <row r="49" spans="1:8" x14ac:dyDescent="0.25">
      <c r="A49" s="2">
        <v>70725012464</v>
      </c>
      <c r="B49" t="s">
        <v>117</v>
      </c>
      <c r="C49" t="s">
        <v>118</v>
      </c>
      <c r="D49" t="s">
        <v>21</v>
      </c>
      <c r="E49" t="s">
        <v>54</v>
      </c>
      <c r="F49">
        <v>400000</v>
      </c>
      <c r="G49">
        <v>550000</v>
      </c>
      <c r="H49">
        <v>475000</v>
      </c>
    </row>
    <row r="50" spans="1:8" x14ac:dyDescent="0.25">
      <c r="A50" s="2">
        <v>230925038055</v>
      </c>
      <c r="B50" t="s">
        <v>119</v>
      </c>
      <c r="C50" t="s">
        <v>120</v>
      </c>
      <c r="D50" t="s">
        <v>10</v>
      </c>
      <c r="E50" t="s">
        <v>50</v>
      </c>
      <c r="F50">
        <v>300000</v>
      </c>
      <c r="G50">
        <v>650000</v>
      </c>
      <c r="H50">
        <v>475000</v>
      </c>
    </row>
    <row r="51" spans="1:8" x14ac:dyDescent="0.25">
      <c r="A51" s="2">
        <v>11025010037</v>
      </c>
      <c r="B51" t="s">
        <v>121</v>
      </c>
      <c r="C51" t="s">
        <v>122</v>
      </c>
      <c r="D51" t="s">
        <v>46</v>
      </c>
      <c r="E51" t="s">
        <v>22</v>
      </c>
      <c r="F51">
        <v>225000</v>
      </c>
      <c r="G51">
        <v>700000</v>
      </c>
      <c r="H51">
        <v>462500</v>
      </c>
    </row>
    <row r="52" spans="1:8" x14ac:dyDescent="0.25">
      <c r="A52" s="2">
        <v>220925004864</v>
      </c>
      <c r="B52" t="s">
        <v>123</v>
      </c>
      <c r="C52" t="s">
        <v>73</v>
      </c>
      <c r="D52" t="s">
        <v>53</v>
      </c>
      <c r="E52" t="s">
        <v>22</v>
      </c>
      <c r="F52">
        <v>400000</v>
      </c>
      <c r="G52">
        <v>500000</v>
      </c>
      <c r="H52">
        <v>450000</v>
      </c>
    </row>
    <row r="53" spans="1:8" x14ac:dyDescent="0.25">
      <c r="A53" s="2">
        <v>230925035104</v>
      </c>
      <c r="B53" t="s">
        <v>124</v>
      </c>
      <c r="C53" t="s">
        <v>125</v>
      </c>
      <c r="D53" t="s">
        <v>34</v>
      </c>
      <c r="E53" t="s">
        <v>35</v>
      </c>
      <c r="F53">
        <v>300000</v>
      </c>
      <c r="G53">
        <v>600000</v>
      </c>
      <c r="H53">
        <v>450000</v>
      </c>
    </row>
    <row r="54" spans="1:8" x14ac:dyDescent="0.25">
      <c r="A54" s="2">
        <v>190625018398</v>
      </c>
      <c r="B54" t="s">
        <v>126</v>
      </c>
      <c r="C54" t="s">
        <v>127</v>
      </c>
      <c r="D54" t="s">
        <v>34</v>
      </c>
      <c r="E54" t="s">
        <v>29</v>
      </c>
      <c r="F54">
        <v>300000</v>
      </c>
      <c r="G54">
        <v>600000</v>
      </c>
      <c r="H54">
        <v>450000</v>
      </c>
    </row>
    <row r="55" spans="1:8" x14ac:dyDescent="0.25">
      <c r="A55" s="2">
        <v>250925029730</v>
      </c>
      <c r="B55" t="s">
        <v>27</v>
      </c>
      <c r="C55" t="s">
        <v>128</v>
      </c>
      <c r="D55" t="s">
        <v>34</v>
      </c>
      <c r="E55" t="s">
        <v>22</v>
      </c>
      <c r="F55">
        <v>400000</v>
      </c>
      <c r="G55">
        <v>500000</v>
      </c>
      <c r="H55">
        <v>450000</v>
      </c>
    </row>
    <row r="56" spans="1:8" x14ac:dyDescent="0.25">
      <c r="A56" s="2">
        <v>260925031205</v>
      </c>
      <c r="B56" t="s">
        <v>129</v>
      </c>
      <c r="C56" t="s">
        <v>130</v>
      </c>
      <c r="D56" t="s">
        <v>10</v>
      </c>
      <c r="E56" t="s">
        <v>50</v>
      </c>
      <c r="F56">
        <v>400000</v>
      </c>
      <c r="G56">
        <v>475000</v>
      </c>
      <c r="H56">
        <v>437500</v>
      </c>
    </row>
    <row r="57" spans="1:8" x14ac:dyDescent="0.25">
      <c r="A57" s="2">
        <v>310524008217</v>
      </c>
      <c r="B57" t="s">
        <v>131</v>
      </c>
      <c r="C57" t="s">
        <v>132</v>
      </c>
      <c r="D57" t="s">
        <v>46</v>
      </c>
      <c r="E57" t="s">
        <v>29</v>
      </c>
      <c r="F57">
        <v>300000</v>
      </c>
      <c r="G57">
        <v>550000</v>
      </c>
      <c r="H57">
        <v>425000</v>
      </c>
    </row>
    <row r="58" spans="1:8" x14ac:dyDescent="0.25">
      <c r="A58" s="2">
        <v>290925916359</v>
      </c>
      <c r="B58" t="s">
        <v>133</v>
      </c>
      <c r="C58" t="s">
        <v>134</v>
      </c>
      <c r="D58" t="s">
        <v>46</v>
      </c>
      <c r="E58" t="s">
        <v>135</v>
      </c>
      <c r="F58">
        <v>250000</v>
      </c>
      <c r="G58">
        <v>600000</v>
      </c>
      <c r="H58">
        <v>425000</v>
      </c>
    </row>
    <row r="59" spans="1:8" x14ac:dyDescent="0.25">
      <c r="A59" s="2">
        <v>290925005540</v>
      </c>
      <c r="B59" t="s">
        <v>88</v>
      </c>
      <c r="C59" t="s">
        <v>136</v>
      </c>
      <c r="D59" t="s">
        <v>34</v>
      </c>
      <c r="E59" t="s">
        <v>29</v>
      </c>
      <c r="F59">
        <v>350000</v>
      </c>
      <c r="G59">
        <v>500000</v>
      </c>
      <c r="H59">
        <v>425000</v>
      </c>
    </row>
    <row r="60" spans="1:8" x14ac:dyDescent="0.25">
      <c r="A60" s="2">
        <v>130925001838</v>
      </c>
      <c r="B60" t="s">
        <v>137</v>
      </c>
      <c r="C60" t="s">
        <v>80</v>
      </c>
      <c r="D60" t="s">
        <v>34</v>
      </c>
      <c r="E60" t="s">
        <v>50</v>
      </c>
      <c r="F60">
        <v>300000</v>
      </c>
      <c r="G60">
        <v>550000</v>
      </c>
      <c r="H60">
        <v>425000</v>
      </c>
    </row>
    <row r="61" spans="1:8" x14ac:dyDescent="0.25">
      <c r="A61" s="2">
        <v>290925012077</v>
      </c>
      <c r="B61" t="s">
        <v>138</v>
      </c>
      <c r="C61" t="s">
        <v>139</v>
      </c>
      <c r="D61" t="s">
        <v>46</v>
      </c>
      <c r="E61" t="s">
        <v>54</v>
      </c>
      <c r="F61">
        <v>300000</v>
      </c>
      <c r="G61">
        <v>550000</v>
      </c>
      <c r="H61">
        <v>425000</v>
      </c>
    </row>
    <row r="62" spans="1:8" x14ac:dyDescent="0.25">
      <c r="A62" s="2">
        <v>11025018093</v>
      </c>
      <c r="B62" t="s">
        <v>140</v>
      </c>
      <c r="C62" t="s">
        <v>104</v>
      </c>
      <c r="D62" t="s">
        <v>10</v>
      </c>
      <c r="E62" t="s">
        <v>141</v>
      </c>
      <c r="F62">
        <v>300000</v>
      </c>
      <c r="G62">
        <v>550000</v>
      </c>
      <c r="H62">
        <v>425000</v>
      </c>
    </row>
    <row r="63" spans="1:8" x14ac:dyDescent="0.25">
      <c r="A63" s="2">
        <v>290925012945</v>
      </c>
      <c r="B63" t="s">
        <v>117</v>
      </c>
      <c r="C63" t="s">
        <v>142</v>
      </c>
      <c r="D63" t="s">
        <v>10</v>
      </c>
      <c r="E63" t="s">
        <v>110</v>
      </c>
      <c r="F63">
        <v>225000</v>
      </c>
      <c r="G63">
        <v>600000</v>
      </c>
      <c r="H63">
        <v>412500</v>
      </c>
    </row>
    <row r="64" spans="1:8" x14ac:dyDescent="0.25">
      <c r="A64" s="2">
        <v>280925003666</v>
      </c>
      <c r="B64" t="s">
        <v>58</v>
      </c>
      <c r="C64" t="s">
        <v>143</v>
      </c>
      <c r="D64" t="s">
        <v>34</v>
      </c>
      <c r="E64" t="s">
        <v>144</v>
      </c>
      <c r="F64">
        <v>325000</v>
      </c>
      <c r="G64">
        <v>500000</v>
      </c>
      <c r="H64">
        <v>412500</v>
      </c>
    </row>
    <row r="65" spans="1:8" x14ac:dyDescent="0.25">
      <c r="A65" s="2">
        <v>110925012892</v>
      </c>
      <c r="B65" t="s">
        <v>145</v>
      </c>
      <c r="C65" t="s">
        <v>146</v>
      </c>
      <c r="D65" t="s">
        <v>53</v>
      </c>
      <c r="E65" t="s">
        <v>22</v>
      </c>
      <c r="F65">
        <v>200000</v>
      </c>
      <c r="G65">
        <v>600000</v>
      </c>
      <c r="H65">
        <v>400000</v>
      </c>
    </row>
    <row r="66" spans="1:8" x14ac:dyDescent="0.25">
      <c r="A66" s="2">
        <v>240925028707</v>
      </c>
      <c r="B66" t="s">
        <v>147</v>
      </c>
      <c r="C66" t="s">
        <v>148</v>
      </c>
      <c r="D66" t="s">
        <v>34</v>
      </c>
      <c r="E66" t="s">
        <v>149</v>
      </c>
      <c r="F66">
        <v>300000</v>
      </c>
      <c r="G66">
        <v>500000</v>
      </c>
      <c r="H66">
        <v>400000</v>
      </c>
    </row>
    <row r="67" spans="1:8" x14ac:dyDescent="0.25">
      <c r="A67" s="2">
        <v>160125015403</v>
      </c>
      <c r="B67" t="s">
        <v>150</v>
      </c>
      <c r="C67" t="s">
        <v>151</v>
      </c>
      <c r="D67" t="s">
        <v>34</v>
      </c>
      <c r="E67" t="s">
        <v>141</v>
      </c>
      <c r="F67">
        <v>300000</v>
      </c>
      <c r="G67">
        <v>500000</v>
      </c>
      <c r="H67">
        <v>400000</v>
      </c>
    </row>
    <row r="68" spans="1:8" x14ac:dyDescent="0.25">
      <c r="A68" s="2">
        <v>300925029406</v>
      </c>
      <c r="B68" t="s">
        <v>152</v>
      </c>
      <c r="C68" t="s">
        <v>153</v>
      </c>
      <c r="D68" t="s">
        <v>34</v>
      </c>
      <c r="E68" t="s">
        <v>110</v>
      </c>
      <c r="F68">
        <v>300000</v>
      </c>
      <c r="G68">
        <v>500000</v>
      </c>
      <c r="H68">
        <v>400000</v>
      </c>
    </row>
    <row r="69" spans="1:8" x14ac:dyDescent="0.25">
      <c r="A69" s="2">
        <v>300925027597</v>
      </c>
      <c r="B69" t="s">
        <v>154</v>
      </c>
      <c r="C69" t="s">
        <v>155</v>
      </c>
      <c r="D69" t="s">
        <v>34</v>
      </c>
      <c r="E69" t="s">
        <v>54</v>
      </c>
      <c r="F69">
        <v>250000</v>
      </c>
      <c r="G69">
        <v>550000</v>
      </c>
      <c r="H69">
        <v>400000</v>
      </c>
    </row>
    <row r="70" spans="1:8" x14ac:dyDescent="0.25">
      <c r="A70" s="2">
        <v>300925020861</v>
      </c>
      <c r="B70" t="s">
        <v>88</v>
      </c>
      <c r="C70" t="s">
        <v>156</v>
      </c>
      <c r="D70" t="s">
        <v>10</v>
      </c>
      <c r="E70" t="s">
        <v>54</v>
      </c>
      <c r="F70">
        <v>300000</v>
      </c>
      <c r="G70">
        <v>500000</v>
      </c>
      <c r="H70">
        <v>400000</v>
      </c>
    </row>
    <row r="71" spans="1:8" x14ac:dyDescent="0.25">
      <c r="A71" s="2">
        <v>260925000065</v>
      </c>
      <c r="B71" t="s">
        <v>157</v>
      </c>
      <c r="C71" t="s">
        <v>158</v>
      </c>
      <c r="D71" t="s">
        <v>34</v>
      </c>
      <c r="E71" t="s">
        <v>159</v>
      </c>
      <c r="F71">
        <v>325000</v>
      </c>
      <c r="G71">
        <v>475000</v>
      </c>
      <c r="H71">
        <v>400000</v>
      </c>
    </row>
    <row r="72" spans="1:8" x14ac:dyDescent="0.25">
      <c r="A72" s="2">
        <v>260625015497</v>
      </c>
      <c r="B72" t="s">
        <v>99</v>
      </c>
      <c r="C72" t="s">
        <v>160</v>
      </c>
      <c r="D72" t="s">
        <v>46</v>
      </c>
      <c r="E72" t="s">
        <v>161</v>
      </c>
      <c r="F72">
        <v>400000</v>
      </c>
      <c r="G72">
        <v>400000</v>
      </c>
      <c r="H72">
        <v>400000</v>
      </c>
    </row>
    <row r="73" spans="1:8" x14ac:dyDescent="0.25">
      <c r="A73" s="2">
        <v>240925020085</v>
      </c>
      <c r="B73" t="s">
        <v>162</v>
      </c>
      <c r="C73" t="s">
        <v>163</v>
      </c>
      <c r="D73" t="s">
        <v>10</v>
      </c>
      <c r="E73" t="s">
        <v>164</v>
      </c>
      <c r="F73">
        <v>200000</v>
      </c>
      <c r="G73">
        <v>600000</v>
      </c>
      <c r="H73">
        <v>400000</v>
      </c>
    </row>
    <row r="74" spans="1:8" x14ac:dyDescent="0.25">
      <c r="A74" s="2">
        <v>280925004498</v>
      </c>
      <c r="B74" t="s">
        <v>165</v>
      </c>
      <c r="C74" t="s">
        <v>166</v>
      </c>
      <c r="D74" t="s">
        <v>34</v>
      </c>
      <c r="E74" t="s">
        <v>29</v>
      </c>
      <c r="F74">
        <v>300000</v>
      </c>
      <c r="G74">
        <v>500000</v>
      </c>
      <c r="H74">
        <v>400000</v>
      </c>
    </row>
    <row r="75" spans="1:8" x14ac:dyDescent="0.25">
      <c r="A75" s="2">
        <v>31025019429</v>
      </c>
      <c r="B75" t="s">
        <v>167</v>
      </c>
      <c r="C75" t="s">
        <v>168</v>
      </c>
      <c r="D75" t="s">
        <v>10</v>
      </c>
      <c r="E75" t="s">
        <v>11</v>
      </c>
      <c r="F75">
        <v>250000</v>
      </c>
      <c r="G75">
        <v>550000</v>
      </c>
      <c r="H75">
        <v>400000</v>
      </c>
    </row>
    <row r="76" spans="1:8" x14ac:dyDescent="0.25">
      <c r="A76" s="2">
        <v>230925026486</v>
      </c>
      <c r="B76" t="s">
        <v>169</v>
      </c>
      <c r="C76" t="s">
        <v>170</v>
      </c>
      <c r="D76" t="s">
        <v>17</v>
      </c>
      <c r="E76" t="s">
        <v>141</v>
      </c>
      <c r="F76">
        <v>250000</v>
      </c>
      <c r="G76">
        <v>550000</v>
      </c>
      <c r="H76">
        <v>400000</v>
      </c>
    </row>
    <row r="77" spans="1:8" x14ac:dyDescent="0.25">
      <c r="A77" s="2">
        <v>270925011021</v>
      </c>
      <c r="B77" t="s">
        <v>171</v>
      </c>
      <c r="C77" t="s">
        <v>172</v>
      </c>
      <c r="D77" t="s">
        <v>17</v>
      </c>
      <c r="E77" t="s">
        <v>173</v>
      </c>
      <c r="F77">
        <v>175000</v>
      </c>
      <c r="G77">
        <v>600000</v>
      </c>
      <c r="H77">
        <v>387500</v>
      </c>
    </row>
    <row r="78" spans="1:8" x14ac:dyDescent="0.25">
      <c r="A78" s="2">
        <v>60320006024</v>
      </c>
      <c r="B78" t="s">
        <v>174</v>
      </c>
      <c r="C78" t="s">
        <v>175</v>
      </c>
      <c r="D78" t="s">
        <v>10</v>
      </c>
      <c r="E78" t="s">
        <v>50</v>
      </c>
      <c r="F78">
        <v>325000</v>
      </c>
      <c r="G78">
        <v>450000</v>
      </c>
      <c r="H78">
        <v>387500</v>
      </c>
    </row>
    <row r="79" spans="1:8" x14ac:dyDescent="0.25">
      <c r="A79" s="2">
        <v>300725018695</v>
      </c>
      <c r="B79" t="s">
        <v>176</v>
      </c>
      <c r="C79" t="s">
        <v>177</v>
      </c>
      <c r="D79" t="s">
        <v>46</v>
      </c>
      <c r="E79" t="s">
        <v>110</v>
      </c>
      <c r="F79">
        <v>225000</v>
      </c>
      <c r="G79">
        <v>550000</v>
      </c>
      <c r="H79">
        <v>387500</v>
      </c>
    </row>
    <row r="80" spans="1:8" x14ac:dyDescent="0.25">
      <c r="A80" s="2">
        <v>250925015736</v>
      </c>
      <c r="B80" t="s">
        <v>178</v>
      </c>
      <c r="C80" t="s">
        <v>179</v>
      </c>
      <c r="D80" t="s">
        <v>46</v>
      </c>
      <c r="E80" t="s">
        <v>110</v>
      </c>
      <c r="F80">
        <v>350000</v>
      </c>
      <c r="G80">
        <v>425000</v>
      </c>
      <c r="H80">
        <v>387500</v>
      </c>
    </row>
    <row r="81" spans="1:8" x14ac:dyDescent="0.25">
      <c r="A81" s="2">
        <v>170925036337</v>
      </c>
      <c r="B81" t="s">
        <v>180</v>
      </c>
      <c r="C81" t="s">
        <v>181</v>
      </c>
      <c r="D81" t="s">
        <v>17</v>
      </c>
      <c r="E81" t="s">
        <v>182</v>
      </c>
      <c r="F81">
        <v>250000</v>
      </c>
      <c r="G81">
        <v>500000</v>
      </c>
      <c r="H81">
        <v>375000</v>
      </c>
    </row>
    <row r="82" spans="1:8" x14ac:dyDescent="0.25">
      <c r="A82" s="2">
        <v>300925017672</v>
      </c>
      <c r="B82" t="s">
        <v>183</v>
      </c>
      <c r="C82" t="s">
        <v>184</v>
      </c>
      <c r="D82" t="s">
        <v>10</v>
      </c>
      <c r="E82" t="s">
        <v>22</v>
      </c>
      <c r="F82">
        <v>300000</v>
      </c>
      <c r="G82">
        <v>450000</v>
      </c>
      <c r="H82">
        <v>375000</v>
      </c>
    </row>
    <row r="83" spans="1:8" x14ac:dyDescent="0.25">
      <c r="A83" s="2">
        <v>290925018825</v>
      </c>
      <c r="B83" t="s">
        <v>185</v>
      </c>
      <c r="C83" t="s">
        <v>186</v>
      </c>
      <c r="D83" t="s">
        <v>46</v>
      </c>
      <c r="E83" t="s">
        <v>22</v>
      </c>
      <c r="F83">
        <v>200000</v>
      </c>
      <c r="G83">
        <v>550000</v>
      </c>
      <c r="H83">
        <v>375000</v>
      </c>
    </row>
    <row r="84" spans="1:8" x14ac:dyDescent="0.25">
      <c r="A84" s="2">
        <v>260925014109</v>
      </c>
      <c r="B84" t="s">
        <v>187</v>
      </c>
      <c r="C84" t="s">
        <v>188</v>
      </c>
      <c r="D84" t="s">
        <v>34</v>
      </c>
      <c r="E84" t="s">
        <v>141</v>
      </c>
      <c r="F84">
        <v>250000</v>
      </c>
      <c r="G84">
        <v>500000</v>
      </c>
      <c r="H84">
        <v>375000</v>
      </c>
    </row>
    <row r="85" spans="1:8" x14ac:dyDescent="0.25">
      <c r="A85" s="2">
        <v>260925030011</v>
      </c>
      <c r="B85" t="s">
        <v>189</v>
      </c>
      <c r="C85" t="s">
        <v>190</v>
      </c>
      <c r="D85" t="s">
        <v>46</v>
      </c>
      <c r="E85" t="s">
        <v>18</v>
      </c>
      <c r="F85">
        <v>250000</v>
      </c>
      <c r="G85">
        <v>500000</v>
      </c>
      <c r="H85">
        <v>375000</v>
      </c>
    </row>
    <row r="86" spans="1:8" x14ac:dyDescent="0.25">
      <c r="A86" s="2">
        <v>300925028200</v>
      </c>
      <c r="B86" t="s">
        <v>191</v>
      </c>
      <c r="C86" t="s">
        <v>100</v>
      </c>
      <c r="D86" t="s">
        <v>53</v>
      </c>
      <c r="E86" t="s">
        <v>22</v>
      </c>
      <c r="F86">
        <v>300000</v>
      </c>
      <c r="G86">
        <v>450000</v>
      </c>
      <c r="H86">
        <v>375000</v>
      </c>
    </row>
    <row r="87" spans="1:8" x14ac:dyDescent="0.25">
      <c r="A87" s="2">
        <v>230925000275</v>
      </c>
      <c r="B87" t="s">
        <v>192</v>
      </c>
      <c r="C87" t="s">
        <v>193</v>
      </c>
      <c r="D87" t="s">
        <v>10</v>
      </c>
      <c r="E87" t="s">
        <v>22</v>
      </c>
      <c r="F87">
        <v>300000</v>
      </c>
      <c r="G87">
        <v>425000</v>
      </c>
      <c r="H87">
        <v>362500</v>
      </c>
    </row>
    <row r="88" spans="1:8" x14ac:dyDescent="0.25">
      <c r="A88" s="2">
        <v>21025008477</v>
      </c>
      <c r="B88" t="s">
        <v>194</v>
      </c>
      <c r="C88" t="s">
        <v>195</v>
      </c>
      <c r="D88" t="s">
        <v>34</v>
      </c>
      <c r="E88" t="s">
        <v>22</v>
      </c>
      <c r="F88">
        <v>120000</v>
      </c>
      <c r="G88">
        <v>600000</v>
      </c>
      <c r="H88">
        <v>360000</v>
      </c>
    </row>
    <row r="89" spans="1:8" x14ac:dyDescent="0.25">
      <c r="A89" s="2">
        <v>300925927025</v>
      </c>
      <c r="B89" t="s">
        <v>88</v>
      </c>
      <c r="C89" t="s">
        <v>196</v>
      </c>
      <c r="D89" t="s">
        <v>34</v>
      </c>
      <c r="E89" t="s">
        <v>141</v>
      </c>
      <c r="F89">
        <v>300000</v>
      </c>
      <c r="G89">
        <v>400000</v>
      </c>
      <c r="H89">
        <v>350000</v>
      </c>
    </row>
    <row r="90" spans="1:8" x14ac:dyDescent="0.25">
      <c r="A90" s="2">
        <v>250925034318</v>
      </c>
      <c r="B90" t="s">
        <v>197</v>
      </c>
      <c r="C90" t="s">
        <v>198</v>
      </c>
      <c r="D90" t="s">
        <v>21</v>
      </c>
      <c r="E90" t="s">
        <v>22</v>
      </c>
      <c r="F90">
        <v>325000</v>
      </c>
      <c r="G90">
        <v>375000</v>
      </c>
      <c r="H90">
        <v>350000</v>
      </c>
    </row>
    <row r="91" spans="1:8" x14ac:dyDescent="0.25">
      <c r="A91" s="2">
        <v>31025019718</v>
      </c>
      <c r="B91" t="s">
        <v>199</v>
      </c>
      <c r="C91" t="s">
        <v>200</v>
      </c>
      <c r="D91" t="s">
        <v>10</v>
      </c>
      <c r="E91" t="s">
        <v>50</v>
      </c>
      <c r="F91">
        <v>250000</v>
      </c>
      <c r="G91">
        <v>450000</v>
      </c>
      <c r="H91">
        <v>350000</v>
      </c>
    </row>
    <row r="92" spans="1:8" x14ac:dyDescent="0.25">
      <c r="A92" s="2">
        <v>31025008824</v>
      </c>
      <c r="B92" t="s">
        <v>137</v>
      </c>
      <c r="C92" t="s">
        <v>80</v>
      </c>
      <c r="D92" t="s">
        <v>34</v>
      </c>
      <c r="E92" t="s">
        <v>50</v>
      </c>
      <c r="F92">
        <v>250000</v>
      </c>
      <c r="G92">
        <v>450000</v>
      </c>
      <c r="H92">
        <v>350000</v>
      </c>
    </row>
    <row r="93" spans="1:8" x14ac:dyDescent="0.25">
      <c r="A93" s="2">
        <v>300925927022</v>
      </c>
      <c r="B93" t="s">
        <v>88</v>
      </c>
      <c r="C93" t="s">
        <v>196</v>
      </c>
      <c r="D93" t="s">
        <v>34</v>
      </c>
      <c r="E93" t="s">
        <v>57</v>
      </c>
      <c r="F93">
        <v>300000</v>
      </c>
      <c r="G93">
        <v>400000</v>
      </c>
      <c r="H93">
        <v>350000</v>
      </c>
    </row>
    <row r="94" spans="1:8" x14ac:dyDescent="0.25">
      <c r="A94" s="2">
        <v>300925020755</v>
      </c>
      <c r="B94" t="s">
        <v>201</v>
      </c>
      <c r="C94" t="s">
        <v>64</v>
      </c>
      <c r="D94" t="s">
        <v>10</v>
      </c>
      <c r="E94" t="s">
        <v>29</v>
      </c>
      <c r="F94">
        <v>250000</v>
      </c>
      <c r="G94">
        <v>450000</v>
      </c>
      <c r="H94">
        <v>350000</v>
      </c>
    </row>
    <row r="95" spans="1:8" x14ac:dyDescent="0.25">
      <c r="A95" s="2">
        <v>11025016877</v>
      </c>
      <c r="B95" t="s">
        <v>202</v>
      </c>
      <c r="C95" t="s">
        <v>203</v>
      </c>
      <c r="D95" t="s">
        <v>17</v>
      </c>
      <c r="E95" t="s">
        <v>141</v>
      </c>
      <c r="F95">
        <v>300000</v>
      </c>
      <c r="G95">
        <v>400000</v>
      </c>
      <c r="H95">
        <v>350000</v>
      </c>
    </row>
    <row r="96" spans="1:8" x14ac:dyDescent="0.25">
      <c r="A96" s="2">
        <v>300925917127</v>
      </c>
      <c r="B96" t="s">
        <v>204</v>
      </c>
      <c r="C96" t="s">
        <v>205</v>
      </c>
      <c r="D96" t="s">
        <v>34</v>
      </c>
      <c r="E96" t="s">
        <v>50</v>
      </c>
      <c r="F96">
        <v>200000</v>
      </c>
      <c r="G96">
        <v>500000</v>
      </c>
      <c r="H96">
        <v>350000</v>
      </c>
    </row>
    <row r="97" spans="1:8" x14ac:dyDescent="0.25">
      <c r="A97" s="2">
        <v>290925016041</v>
      </c>
      <c r="B97" t="s">
        <v>88</v>
      </c>
      <c r="C97" t="s">
        <v>206</v>
      </c>
      <c r="D97" t="s">
        <v>46</v>
      </c>
      <c r="E97" t="s">
        <v>25</v>
      </c>
      <c r="F97">
        <v>150000</v>
      </c>
      <c r="G97">
        <v>550000</v>
      </c>
      <c r="H97">
        <v>350000</v>
      </c>
    </row>
    <row r="98" spans="1:8" x14ac:dyDescent="0.25">
      <c r="A98" s="2">
        <v>220825002711</v>
      </c>
      <c r="B98" t="s">
        <v>207</v>
      </c>
      <c r="C98" t="s">
        <v>208</v>
      </c>
      <c r="D98" t="s">
        <v>10</v>
      </c>
      <c r="E98" t="s">
        <v>209</v>
      </c>
      <c r="F98">
        <v>300000</v>
      </c>
      <c r="G98">
        <v>400000</v>
      </c>
      <c r="H98">
        <v>350000</v>
      </c>
    </row>
    <row r="99" spans="1:8" x14ac:dyDescent="0.25">
      <c r="A99" s="2">
        <v>300925927026</v>
      </c>
      <c r="B99" t="s">
        <v>88</v>
      </c>
      <c r="C99" t="s">
        <v>196</v>
      </c>
      <c r="D99" t="s">
        <v>34</v>
      </c>
      <c r="E99" t="s">
        <v>22</v>
      </c>
      <c r="F99">
        <v>300000</v>
      </c>
      <c r="G99">
        <v>400000</v>
      </c>
      <c r="H99">
        <v>350000</v>
      </c>
    </row>
    <row r="100" spans="1:8" x14ac:dyDescent="0.25">
      <c r="A100" s="2">
        <v>300925927024</v>
      </c>
      <c r="B100" t="s">
        <v>88</v>
      </c>
      <c r="C100" t="s">
        <v>196</v>
      </c>
      <c r="D100" t="s">
        <v>34</v>
      </c>
      <c r="E100" t="s">
        <v>29</v>
      </c>
      <c r="F100">
        <v>300000</v>
      </c>
      <c r="G100">
        <v>400000</v>
      </c>
      <c r="H100">
        <v>350000</v>
      </c>
    </row>
    <row r="101" spans="1:8" x14ac:dyDescent="0.25">
      <c r="A101" s="2">
        <v>300925927038</v>
      </c>
      <c r="B101" t="s">
        <v>88</v>
      </c>
      <c r="C101" t="s">
        <v>196</v>
      </c>
      <c r="D101" t="s">
        <v>34</v>
      </c>
      <c r="E101" t="s">
        <v>210</v>
      </c>
      <c r="F101">
        <v>300000</v>
      </c>
      <c r="G101">
        <v>400000</v>
      </c>
      <c r="H101">
        <v>350000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042B-195F-4A07-9EA4-D8500D994CB1}">
  <dimension ref="A1:B8"/>
  <sheetViews>
    <sheetView showGridLines="0" tabSelected="1" workbookViewId="0">
      <selection activeCell="F10" sqref="F10"/>
    </sheetView>
  </sheetViews>
  <sheetFormatPr defaultRowHeight="15" x14ac:dyDescent="0.25"/>
  <cols>
    <col min="1" max="1" width="37.28515625" customWidth="1"/>
    <col min="2" max="2" width="43.28515625" customWidth="1"/>
  </cols>
  <sheetData>
    <row r="1" spans="1:2" x14ac:dyDescent="0.25">
      <c r="A1" s="4" t="s">
        <v>211</v>
      </c>
      <c r="B1" s="5">
        <v>250925023466</v>
      </c>
    </row>
    <row r="2" spans="1:2" x14ac:dyDescent="0.25">
      <c r="A2" s="6"/>
      <c r="B2" s="7"/>
    </row>
    <row r="3" spans="1:2" x14ac:dyDescent="0.25">
      <c r="A3" s="4" t="s">
        <v>212</v>
      </c>
      <c r="B3" s="7" t="str">
        <f>_xlfn.XLOOKUP(B1, JobsData[jobId], JobsData[title], "Not Found")</f>
        <v>Financial Analyst</v>
      </c>
    </row>
    <row r="4" spans="1:2" x14ac:dyDescent="0.25">
      <c r="A4" s="4" t="s">
        <v>213</v>
      </c>
      <c r="B4" s="7" t="str">
        <f>_xlfn.XLOOKUP(B1, JobsData[jobId], JobsData[companyName], "Not Found")</f>
        <v>IntouchCX</v>
      </c>
    </row>
    <row r="5" spans="1:2" x14ac:dyDescent="0.25">
      <c r="A5" s="4" t="s">
        <v>214</v>
      </c>
      <c r="B5" s="7" t="str">
        <f>_xlfn.XLOOKUP(B1, JobsData[jobId], JobsData[Clean_City], "Not Found")</f>
        <v>Hyderabad</v>
      </c>
    </row>
    <row r="6" spans="1:2" x14ac:dyDescent="0.25">
      <c r="A6" s="4" t="s">
        <v>215</v>
      </c>
      <c r="B6" s="8">
        <f>_xlfn.XLOOKUP(B1, JobsData[jobId], JobsData[Mid_Salary], "Not Found")</f>
        <v>1100000</v>
      </c>
    </row>
    <row r="7" spans="1:2" x14ac:dyDescent="0.25">
      <c r="A7" s="9"/>
      <c r="B7" s="10"/>
    </row>
    <row r="8" spans="1:2" x14ac:dyDescent="0.25">
      <c r="A8" s="3"/>
      <c r="B8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C3EBF7-E240-417C-8E1F-22E8EEC8AB7E}">
          <x14:formula1>
            <xm:f>Master_Data!$A$2:$A$101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Master_Data</vt:lpstr>
      <vt:lpstr>Interactive_Lookup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MISHRA</dc:creator>
  <cp:lastModifiedBy>ASHISH MISHRA</cp:lastModifiedBy>
  <dcterms:created xsi:type="dcterms:W3CDTF">2026-04-01T20:43:36Z</dcterms:created>
  <dcterms:modified xsi:type="dcterms:W3CDTF">2026-04-01T21:32:12Z</dcterms:modified>
</cp:coreProperties>
</file>